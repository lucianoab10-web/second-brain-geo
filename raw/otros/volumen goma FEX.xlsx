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mno\Downloads\"/>
    </mc:Choice>
  </mc:AlternateContent>
  <xr:revisionPtr revIDLastSave="0" documentId="13_ncr:1_{96CAB235-4E36-44B2-8FEB-C958CEABD093}" xr6:coauthVersionLast="47" xr6:coauthVersionMax="47" xr10:uidLastSave="{00000000-0000-0000-0000-000000000000}"/>
  <bookViews>
    <workbookView xWindow="-110" yWindow="-110" windowWidth="19420" windowHeight="11500" xr2:uid="{4E5F4707-88EC-46FE-B05E-C79F779B80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6" i="1" l="1"/>
  <c r="H15" i="1"/>
  <c r="H2" i="1"/>
  <c r="F11" i="1"/>
  <c r="E15" i="1"/>
  <c r="F15" i="1"/>
  <c r="F13" i="1"/>
  <c r="D18" i="1"/>
  <c r="D13" i="1"/>
  <c r="C13" i="1"/>
  <c r="B13" i="1"/>
  <c r="D15" i="1" s="1"/>
  <c r="B15" i="1" l="1"/>
  <c r="C15" i="1"/>
</calcChain>
</file>

<file path=xl/sharedStrings.xml><?xml version="1.0" encoding="utf-8"?>
<sst xmlns="http://schemas.openxmlformats.org/spreadsheetml/2006/main" count="23" uniqueCount="23">
  <si>
    <t>n</t>
  </si>
  <si>
    <t>L</t>
  </si>
  <si>
    <t>A</t>
  </si>
  <si>
    <t>h</t>
  </si>
  <si>
    <t>µ</t>
  </si>
  <si>
    <t>ρL</t>
  </si>
  <si>
    <t>ρA</t>
  </si>
  <si>
    <t>ρh</t>
  </si>
  <si>
    <t>ΔL</t>
  </si>
  <si>
    <t>ΔA</t>
  </si>
  <si>
    <t>Δh</t>
  </si>
  <si>
    <t>V</t>
  </si>
  <si>
    <t>V= L*A*h ± ΔV</t>
  </si>
  <si>
    <t>ΔV</t>
  </si>
  <si>
    <t>m</t>
  </si>
  <si>
    <r>
      <t xml:space="preserve">EI </t>
    </r>
    <r>
      <rPr>
        <sz val="11"/>
        <color theme="1"/>
        <rFont val="Calibri"/>
        <family val="2"/>
        <scheme val="minor"/>
      </rPr>
      <t>para L, A y h</t>
    </r>
  </si>
  <si>
    <r>
      <rPr>
        <i/>
        <sz val="11"/>
        <color theme="1"/>
        <rFont val="Calibri"/>
        <family val="2"/>
        <scheme val="minor"/>
      </rPr>
      <t xml:space="preserve">EI </t>
    </r>
    <r>
      <rPr>
        <sz val="11"/>
        <color theme="1"/>
        <rFont val="Calibri"/>
        <family val="2"/>
        <scheme val="minor"/>
      </rPr>
      <t>para m</t>
    </r>
  </si>
  <si>
    <t>ρm</t>
  </si>
  <si>
    <t>Δm</t>
  </si>
  <si>
    <t>ρ</t>
  </si>
  <si>
    <t>Δρ</t>
  </si>
  <si>
    <t>± 116,25</t>
  </si>
  <si>
    <t>± 9,0E-07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</si>
</sst>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4" borderId="0" xfId="0" applyFill="1"/>
    <xf numFmtId="0" fontId="0" fillId="4" borderId="0" xfId="0" applyFill="1" applyAlignment="1">
      <alignment horizontal="righ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2C3A4B-324F-46E8-BD79-27594008F289}" name="Tabla1" displayName="Tabla1" ref="A1:D10" totalsRowShown="0">
  <autoFilter ref="A1:D10" xr:uid="{662C3A4B-324F-46E8-BD79-27594008F289}"/>
  <tableColumns count="4">
    <tableColumn id="1" xr3:uid="{3AECFC12-EC4F-46E6-A958-5CC82C54FE51}" name="n"/>
    <tableColumn id="2" xr3:uid="{E768CED2-5DF9-41C2-AFFA-027F98B72018}" name="L"/>
    <tableColumn id="3" xr3:uid="{F842EE7C-1119-462C-B8FC-B6A1CC5821B0}" name="A"/>
    <tableColumn id="4" xr3:uid="{D44CFE6F-0C35-48E9-8E51-C5BDB5DCB935}" name="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A0F60B-6D2F-4E50-BC82-EC5D276A2A87}" name="Tabla2" displayName="Tabla2" ref="F1:F10" totalsRowShown="0">
  <autoFilter ref="F1:F10" xr:uid="{0AA0F60B-6D2F-4E50-BC82-EC5D276A2A87}"/>
  <tableColumns count="1">
    <tableColumn id="1" xr3:uid="{1BE02697-8B90-4781-9B51-F855C30C38DA}" name="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322D8-C187-42C2-A616-9BC5EFD22B6C}">
  <dimension ref="A1:I19"/>
  <sheetViews>
    <sheetView tabSelected="1" workbookViewId="0">
      <selection activeCell="I20" sqref="I20"/>
    </sheetView>
  </sheetViews>
  <sheetFormatPr baseColWidth="10" defaultRowHeight="14.5" x14ac:dyDescent="0.35"/>
  <cols>
    <col min="2" max="2" width="13.1796875" customWidth="1"/>
    <col min="4" max="4" width="11.81640625" bestFit="1" customWidth="1"/>
    <col min="5" max="5" width="13.08984375" customWidth="1"/>
    <col min="6" max="6" width="11.81640625" bestFit="1" customWidth="1"/>
    <col min="8" max="8" width="11.17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s="5" t="s">
        <v>15</v>
      </c>
      <c r="F1" t="s">
        <v>14</v>
      </c>
      <c r="G1" s="8" t="s">
        <v>16</v>
      </c>
      <c r="H1" t="s">
        <v>19</v>
      </c>
    </row>
    <row r="2" spans="1:9" x14ac:dyDescent="0.35">
      <c r="A2">
        <v>1</v>
      </c>
      <c r="B2">
        <v>4.2000000000000003E-2</v>
      </c>
      <c r="C2">
        <v>1.3000000000000001E-2</v>
      </c>
      <c r="D2">
        <v>2.3E-2</v>
      </c>
      <c r="E2">
        <v>5.0000000000000001E-4</v>
      </c>
      <c r="F2">
        <v>1.9960000000000002E-2</v>
      </c>
      <c r="G2">
        <v>5.0000000000000004E-6</v>
      </c>
      <c r="H2">
        <f>(F11/D18)</f>
        <v>1590.3098511794165</v>
      </c>
      <c r="I2" t="s">
        <v>21</v>
      </c>
    </row>
    <row r="3" spans="1:9" x14ac:dyDescent="0.35">
      <c r="A3">
        <v>2</v>
      </c>
      <c r="B3">
        <v>4.2000000000000003E-2</v>
      </c>
      <c r="C3">
        <v>1.3000000000000001E-2</v>
      </c>
      <c r="D3">
        <v>2.3E-2</v>
      </c>
      <c r="F3">
        <v>0.02</v>
      </c>
    </row>
    <row r="4" spans="1:9" x14ac:dyDescent="0.35">
      <c r="A4">
        <v>3</v>
      </c>
      <c r="B4">
        <v>4.2000000000000003E-2</v>
      </c>
      <c r="C4">
        <v>1.3000000000000001E-2</v>
      </c>
      <c r="D4">
        <v>2.3E-2</v>
      </c>
      <c r="F4">
        <v>0.02</v>
      </c>
    </row>
    <row r="5" spans="1:9" x14ac:dyDescent="0.35">
      <c r="A5">
        <v>4</v>
      </c>
      <c r="B5">
        <v>4.2000000000000003E-2</v>
      </c>
      <c r="C5">
        <v>1.3000000000000001E-2</v>
      </c>
      <c r="D5">
        <v>2.3E-2</v>
      </c>
      <c r="F5">
        <v>1.9960000000000002E-2</v>
      </c>
    </row>
    <row r="6" spans="1:9" x14ac:dyDescent="0.35">
      <c r="A6">
        <v>5</v>
      </c>
      <c r="B6">
        <v>4.2000000000000003E-2</v>
      </c>
      <c r="C6">
        <v>1.3000000000000001E-2</v>
      </c>
      <c r="D6">
        <v>2.3E-2</v>
      </c>
      <c r="F6">
        <v>0.02</v>
      </c>
    </row>
    <row r="7" spans="1:9" x14ac:dyDescent="0.35">
      <c r="A7">
        <v>6</v>
      </c>
      <c r="B7">
        <v>4.2000000000000003E-2</v>
      </c>
      <c r="C7">
        <v>1.3000000000000001E-2</v>
      </c>
      <c r="D7">
        <v>2.3E-2</v>
      </c>
      <c r="F7">
        <v>1.9949999999999999E-2</v>
      </c>
    </row>
    <row r="8" spans="1:9" x14ac:dyDescent="0.35">
      <c r="A8">
        <v>7</v>
      </c>
      <c r="B8">
        <v>4.2000000000000003E-2</v>
      </c>
      <c r="C8">
        <v>1.3000000000000001E-2</v>
      </c>
      <c r="D8">
        <v>2.3E-2</v>
      </c>
      <c r="F8">
        <v>1.9960000000000002E-2</v>
      </c>
    </row>
    <row r="9" spans="1:9" x14ac:dyDescent="0.35">
      <c r="A9">
        <v>8</v>
      </c>
      <c r="B9">
        <v>4.2000000000000003E-2</v>
      </c>
      <c r="C9">
        <v>1.3000000000000001E-2</v>
      </c>
      <c r="D9">
        <v>2.3E-2</v>
      </c>
      <c r="F9">
        <v>1.9949999999999999E-2</v>
      </c>
    </row>
    <row r="10" spans="1:9" x14ac:dyDescent="0.35">
      <c r="A10">
        <v>9</v>
      </c>
      <c r="B10">
        <v>4.2000000000000003E-2</v>
      </c>
      <c r="C10">
        <v>1.3000000000000001E-2</v>
      </c>
      <c r="D10">
        <v>2.3E-2</v>
      </c>
      <c r="F10">
        <v>1.9960000000000002E-2</v>
      </c>
    </row>
    <row r="11" spans="1:9" x14ac:dyDescent="0.35">
      <c r="A11" s="3" t="s">
        <v>4</v>
      </c>
      <c r="B11" s="4">
        <v>4.2000000000000003E-2</v>
      </c>
      <c r="C11" s="4">
        <v>1.2999999999999999E-2</v>
      </c>
      <c r="D11" s="4">
        <v>2.3E-2</v>
      </c>
      <c r="F11" s="4">
        <f>AVERAGE(F2:F10)</f>
        <v>1.9971111111111113E-2</v>
      </c>
    </row>
    <row r="12" spans="1:9" x14ac:dyDescent="0.35">
      <c r="B12" t="s">
        <v>5</v>
      </c>
      <c r="C12" t="s">
        <v>6</v>
      </c>
      <c r="D12" t="s">
        <v>7</v>
      </c>
      <c r="F12" t="s">
        <v>17</v>
      </c>
    </row>
    <row r="13" spans="1:9" x14ac:dyDescent="0.35">
      <c r="B13">
        <f>AVEDEV(B2:B10)</f>
        <v>6.9388939039072284E-18</v>
      </c>
      <c r="C13">
        <f>AVEDEV(C2:C10)</f>
        <v>1.7347234759768071E-18</v>
      </c>
      <c r="D13">
        <f>AVEDEV(D2:D10)</f>
        <v>3.4694469519536142E-18</v>
      </c>
      <c r="F13">
        <f>AVEDEV(F2:F10)</f>
        <v>1.9259259259259375E-5</v>
      </c>
    </row>
    <row r="14" spans="1:9" x14ac:dyDescent="0.35">
      <c r="B14" s="1" t="s">
        <v>8</v>
      </c>
      <c r="C14" t="s">
        <v>9</v>
      </c>
      <c r="D14" t="s">
        <v>10</v>
      </c>
      <c r="E14" t="s">
        <v>13</v>
      </c>
      <c r="F14" t="s">
        <v>18</v>
      </c>
      <c r="H14" t="s">
        <v>20</v>
      </c>
    </row>
    <row r="15" spans="1:9" x14ac:dyDescent="0.35">
      <c r="B15">
        <f>SQRT(B13^2+E2^2)</f>
        <v>5.0000000000000001E-4</v>
      </c>
      <c r="C15">
        <f>SQRT(B13^2+E2^2)</f>
        <v>5.0000000000000001E-4</v>
      </c>
      <c r="D15">
        <f>SQRT(B13^2+E2^2)</f>
        <v>5.0000000000000001E-4</v>
      </c>
      <c r="E15">
        <f>SUM(B11*C11*D15,D11*C11*B15,B11*D11*C15)</f>
        <v>9.0550000000000005E-7</v>
      </c>
      <c r="F15">
        <f>SQRT(F13^2+G2^2)</f>
        <v>1.989771512549539E-5</v>
      </c>
      <c r="H15">
        <f>SUM(F15/D18,F11/D18^2*E15)</f>
        <v>116.25444221758696</v>
      </c>
    </row>
    <row r="16" spans="1:9" x14ac:dyDescent="0.35">
      <c r="H16">
        <f>ROUND(H15,2)</f>
        <v>116.25</v>
      </c>
    </row>
    <row r="18" spans="2:5" x14ac:dyDescent="0.35">
      <c r="B18" s="6" t="s">
        <v>12</v>
      </c>
      <c r="C18" s="7" t="s">
        <v>11</v>
      </c>
      <c r="D18" s="7">
        <f>(B11*C11*D11)</f>
        <v>1.2558000000000001E-5</v>
      </c>
      <c r="E18" s="6" t="s">
        <v>22</v>
      </c>
    </row>
    <row r="19" spans="2:5" x14ac:dyDescent="0.35">
      <c r="C19" s="2"/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MÜLLER SEGURA MARTINA A</dc:creator>
  <cp:lastModifiedBy>Alumno</cp:lastModifiedBy>
  <dcterms:created xsi:type="dcterms:W3CDTF">2026-08-26T13:15:51Z</dcterms:created>
  <dcterms:modified xsi:type="dcterms:W3CDTF">2026-08-31T13:55:00Z</dcterms:modified>
</cp:coreProperties>
</file>